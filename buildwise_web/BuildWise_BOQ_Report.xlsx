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₹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cols>
    <col min="1" max="1" width="8.83203125" customWidth="1"/>
    <col min="2" max="2" width="48.83203125" customWidth="1"/>
    <col min="3" max="3" width="10.83203125" customWidth="1"/>
    <col min="4" max="4" width="14.83203125" customWidth="1"/>
    <col min="5" max="5" width="16.83203125" customWidth="1"/>
    <col min="6" max="6" width="22.83203125" customWidth="1"/>
  </cols>
  <sheetData>
    <row r="1">
      <c r="A1" t="str">
        <v>BuildWise AI — Construction BOQ Report</v>
      </c>
    </row>
    <row r="2">
      <c r="A2" t="str">
        <v>Project: 2-Bedroom-Home-Plan-With-Dimensions | Date: 7/25/2026</v>
      </c>
    </row>
    <row r="4">
      <c r="A4" t="str">
        <v>Sl No</v>
      </c>
      <c r="B4" t="str">
        <v>Item Description</v>
      </c>
      <c r="C4" t="str">
        <v>Unit</v>
      </c>
      <c r="D4" t="str">
        <v>Quantity</v>
      </c>
      <c r="E4" t="str">
        <v>Rate (₹)</v>
      </c>
      <c r="F4" t="str">
        <v>Amount (₹)</v>
      </c>
    </row>
    <row r="5">
      <c r="A5" t="str">
        <v>A. EARTHWORK</v>
      </c>
    </row>
    <row r="6">
      <c r="A6">
        <v>1</v>
      </c>
      <c r="B6" t="str">
        <v>Excavation in ordinary soil for foundations</v>
      </c>
      <c r="C6" t="str">
        <v>m³</v>
      </c>
      <c r="D6" s="1">
        <v>45</v>
      </c>
      <c r="E6" s="2">
        <v>200</v>
      </c>
      <c r="F6" s="2">
        <f>D6*E6</f>
      </c>
    </row>
    <row r="7">
      <c r="A7" t="str">
        <v>B. RCC &amp; STRUCTURAL WORKS</v>
      </c>
    </row>
    <row r="8">
      <c r="A8">
        <v>2</v>
      </c>
      <c r="B8" t="str">
        <v>RCC M20 grade concrete frames</v>
      </c>
      <c r="C8" t="str">
        <v>m³</v>
      </c>
      <c r="D8" s="1">
        <v>38.5</v>
      </c>
      <c r="E8" s="2">
        <v>6200</v>
      </c>
      <c r="F8" s="2">
        <f>D8*E8</f>
      </c>
    </row>
    <row r="9">
      <c r="A9">
        <v>3</v>
      </c>
      <c r="B9" t="str">
        <v>Steel reinforcement Fe500 TMT bars</v>
      </c>
      <c r="C9" t="str">
        <v>kg</v>
      </c>
      <c r="D9" s="1">
        <v>3270</v>
      </c>
      <c r="E9" s="2">
        <v>78</v>
      </c>
      <c r="F9" s="2">
        <f>D9*E9</f>
      </c>
    </row>
    <row r="10">
      <c r="A10" t="str">
        <v>C. MASONRY &amp; MATERIALS</v>
      </c>
    </row>
    <row r="11">
      <c r="A11">
        <v>4</v>
      </c>
      <c r="B11" t="str">
        <v>Masonry wall units (Standard Red Clay Brick)</v>
      </c>
      <c r="C11" t="str">
        <v>nos</v>
      </c>
      <c r="D11" s="1">
        <v>14500</v>
      </c>
      <c r="E11" s="2">
        <v>10</v>
      </c>
      <c r="F11" s="2">
        <f>D11*E11</f>
      </c>
    </row>
    <row r="12">
      <c r="A12">
        <v>5</v>
      </c>
      <c r="B12" t="str">
        <v>Cement (UltraTech Cement)</v>
      </c>
      <c r="C12" t="str">
        <v>bags</v>
      </c>
      <c r="D12" s="1">
        <v>340</v>
      </c>
      <c r="E12" s="2">
        <v>430</v>
      </c>
      <c r="F12" s="2">
        <f>D12*E12</f>
      </c>
    </row>
    <row r="13">
      <c r="A13">
        <v>6</v>
      </c>
      <c r="B13" t="str">
        <v>River sand / M-Sand (River Sand)</v>
      </c>
      <c r="C13" t="str">
        <v>m³</v>
      </c>
      <c r="D13" s="1">
        <v>24.5</v>
      </c>
      <c r="E13" s="2">
        <v>1400</v>
      </c>
      <c r="F13" s="2">
        <f>D13*E13</f>
      </c>
    </row>
    <row r="14">
      <c r="A14">
        <v>7</v>
      </c>
      <c r="B14" t="str">
        <v>Crushed stone aggregate 20mm (20 mm Aggregate)</v>
      </c>
      <c r="C14" t="str">
        <v>m³</v>
      </c>
      <c r="D14" s="1">
        <v>32</v>
      </c>
      <c r="E14" s="2">
        <v>1600</v>
      </c>
      <c r="F14" s="2">
        <f>D14*E14</f>
      </c>
    </row>
    <row r="15">
      <c r="A15" t="str">
        <v>D. FINISHING WORKS</v>
      </c>
    </row>
    <row r="16">
      <c r="A16">
        <v>8</v>
      </c>
      <c r="B16" t="str">
        <v>Cement plaster 12mm thick CM 1:4</v>
      </c>
      <c r="C16" t="str">
        <v>m²</v>
      </c>
      <c r="D16" s="1">
        <v>480</v>
      </c>
      <c r="E16" s="2">
        <v>300</v>
      </c>
      <c r="F16" s="2">
        <f>D16*E16</f>
      </c>
    </row>
    <row r="17">
      <c r="A17">
        <v>9</v>
      </c>
      <c r="B17" t="str">
        <v>Interior emulsion wall painting (Asian Paints)</v>
      </c>
      <c r="C17" t="str">
        <v>m²</v>
      </c>
      <c r="D17" s="1">
        <v>580</v>
      </c>
      <c r="E17" s="2">
        <v>135</v>
      </c>
      <c r="F17" s="2">
        <f>D17*E17</f>
      </c>
    </row>
    <row r="18">
      <c r="A18">
        <v>10</v>
      </c>
      <c r="B18" t="str">
        <v>Vitrified floor tiles 600x600mm (Kajaria)</v>
      </c>
      <c r="C18" t="str">
        <v>m²</v>
      </c>
      <c r="D18" s="1">
        <v>61</v>
      </c>
      <c r="E18" s="2">
        <v>650</v>
      </c>
      <c r="F18" s="2">
        <f>D18*E18</f>
      </c>
    </row>
    <row r="19">
      <c r="A19">
        <v>11</v>
      </c>
      <c r="B19" t="str">
        <v>Liquid membrane waterproofing</v>
      </c>
      <c r="C19" t="str">
        <v>m²</v>
      </c>
      <c r="D19" s="1">
        <v>75</v>
      </c>
      <c r="E19" s="2">
        <v>380</v>
      </c>
      <c r="F19" s="2">
        <f>D19*E19</f>
      </c>
    </row>
    <row r="21">
      <c r="A21" t="str">
        <v>BOQ SUMMARY BREAKDOWN</v>
      </c>
    </row>
    <row r="22">
      <c r="A22" t="str">
        <v>Material Takeoff Cost</v>
      </c>
      <c r="F22" s="2">
        <f>SUM(F6:F19)</f>
      </c>
    </row>
    <row r="23">
      <c r="A23" t="str">
        <v>Labour Takeoff Cost</v>
      </c>
      <c r="F23" s="2">
        <v>330000</v>
      </c>
    </row>
    <row r="24">
      <c r="A24" t="str">
        <v>Machinery &amp; Rental Equipment</v>
      </c>
      <c r="F24" s="2">
        <v>55000</v>
      </c>
    </row>
    <row r="25">
      <c r="A25" t="str">
        <v>Overhead &amp; Contractor Margin</v>
      </c>
      <c r="F25" s="2">
        <v>155000</v>
      </c>
    </row>
    <row r="26">
      <c r="A26" t="str">
        <v>Contingency Buffer</v>
      </c>
      <c r="F26" s="2">
        <v>77000</v>
      </c>
    </row>
    <row r="27">
      <c r="A27" t="str">
        <v>GST (18% applied)</v>
      </c>
      <c r="F27" s="2">
        <f>SUM(F22:F26)*0.18</f>
      </c>
    </row>
    <row r="28">
      <c r="A28" t="str">
        <v>GRAND TOTAL CONTRACT AMOUNT</v>
      </c>
      <c r="F28" s="2">
        <f>SUM(F22:F27)</f>
      </c>
    </row>
  </sheetData>
  <mergeCells count="14">
    <mergeCell ref="A1:F1"/>
    <mergeCell ref="A2:F2"/>
    <mergeCell ref="A5:F5"/>
    <mergeCell ref="A7:F7"/>
    <mergeCell ref="A10:F10"/>
    <mergeCell ref="A15:F15"/>
    <mergeCell ref="A21:F21"/>
    <mergeCell ref="A22:E22"/>
    <mergeCell ref="A23:E23"/>
    <mergeCell ref="A24:E24"/>
    <mergeCell ref="A25:E25"/>
    <mergeCell ref="A26:E26"/>
    <mergeCell ref="A27:E27"/>
    <mergeCell ref="A28:E28"/>
  </mergeCells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