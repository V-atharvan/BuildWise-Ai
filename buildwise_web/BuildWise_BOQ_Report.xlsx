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OQ Repor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#,##0.##"/>
    <numFmt numFmtId="61" formatCode="&quot;₹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6"/>
  <sheetViews>
    <sheetView workbookViewId="0"/>
  </sheetViews>
  <cols>
    <col min="1" max="1" width="8.83203125" customWidth="1"/>
    <col min="2" max="2" width="48.83203125" customWidth="1"/>
    <col min="3" max="3" width="10.83203125" customWidth="1"/>
    <col min="4" max="4" width="14.83203125" customWidth="1"/>
    <col min="5" max="5" width="16.83203125" customWidth="1"/>
    <col min="6" max="6" width="22.83203125" customWidth="1"/>
  </cols>
  <sheetData>
    <row r="1">
      <c r="A1" t="str">
        <v>BuildWise AI — Construction BOQ Report</v>
      </c>
    </row>
    <row r="2">
      <c r="A2" t="str">
        <v>Project: Villa Horizon Test | Date: 2/8/2026</v>
      </c>
    </row>
    <row r="4">
      <c r="A4" t="str">
        <v>Sl No</v>
      </c>
      <c r="B4" t="str">
        <v>Item Description</v>
      </c>
      <c r="C4" t="str">
        <v>Unit</v>
      </c>
      <c r="D4" t="str">
        <v>Quantity</v>
      </c>
      <c r="E4" t="str">
        <v>Rate (₹)</v>
      </c>
      <c r="F4" t="str">
        <v>Amount (₹)</v>
      </c>
    </row>
    <row r="5">
      <c r="A5" t="str">
        <v>1. EARTHWORK &amp; FOUNDATIONS</v>
      </c>
    </row>
    <row r="6">
      <c r="A6">
        <v>1</v>
      </c>
      <c r="B6" t="str">
        <v>Earthwork Excavation for columns &amp; foundation pits</v>
      </c>
      <c r="C6" t="str">
        <v>m³</v>
      </c>
      <c r="D6" s="1">
        <v>45</v>
      </c>
      <c r="E6" s="2">
        <v>200</v>
      </c>
      <c r="F6" s="2">
        <f>D6*E6</f>
      </c>
    </row>
    <row r="7">
      <c r="A7">
        <v>2</v>
      </c>
      <c r="B7" t="str">
        <v>Backfilling and soil compaction with selected earth</v>
      </c>
      <c r="C7" t="str">
        <v>m³</v>
      </c>
      <c r="D7" s="1">
        <v>38.25</v>
      </c>
      <c r="E7" s="2">
        <v>120</v>
      </c>
      <c r="F7" s="2">
        <f>D7*E7</f>
      </c>
    </row>
    <row r="8">
      <c r="A8" t="str">
        <v>2. STRUCTURAL RCC (REINFORCED CONCRETE)</v>
      </c>
    </row>
    <row r="9">
      <c r="A9">
        <v>3</v>
      </c>
      <c r="B9" t="str">
        <v>RCC frame structures - Concrete (M20 Grade)</v>
      </c>
      <c r="C9" t="str">
        <v>m³</v>
      </c>
      <c r="D9" s="1">
        <v>38.5</v>
      </c>
      <c r="E9" s="2">
        <v>5500</v>
      </c>
      <c r="F9" s="2">
        <f>D9*E9</f>
      </c>
    </row>
    <row r="10">
      <c r="A10">
        <v>4</v>
      </c>
      <c r="B10" t="str">
        <v>TMT steel reinforcement bars (Fe500 Grade)</v>
      </c>
      <c r="C10" t="str">
        <v>kg</v>
      </c>
      <c r="D10" s="1">
        <v>3270</v>
      </c>
      <c r="E10" s="2">
        <v>75</v>
      </c>
      <c r="F10" s="2">
        <f>D10*E10</f>
      </c>
    </row>
    <row r="11">
      <c r="A11">
        <v>5</v>
      </c>
      <c r="B11" t="str">
        <v>Centering and shuttering (Formwork for slabs, columns &amp; beams)</v>
      </c>
      <c r="C11" t="str">
        <v>m²</v>
      </c>
      <c r="D11" s="1">
        <v>173.25</v>
      </c>
      <c r="E11" s="2">
        <v>380</v>
      </c>
      <c r="F11" s="2">
        <f>D11*E11</f>
      </c>
    </row>
    <row r="12">
      <c r="A12" t="str">
        <v>3. MASONRY &amp; WALL CONSTRUCTION</v>
      </c>
    </row>
    <row r="13">
      <c r="A13">
        <v>6</v>
      </c>
      <c r="B13" t="str">
        <v>Clay brick masonry in CM 1:6 wall structures</v>
      </c>
      <c r="C13" t="str">
        <v>nos</v>
      </c>
      <c r="D13" s="1">
        <v>14500</v>
      </c>
      <c r="E13" s="2">
        <v>10</v>
      </c>
      <c r="F13" s="2">
        <f>D13*E13</f>
      </c>
    </row>
    <row r="14">
      <c r="A14">
        <v>7</v>
      </c>
      <c r="B14" t="str">
        <v>Cement (OPC 53 Grade) for mortar mix</v>
      </c>
      <c r="C14" t="str">
        <v>bags</v>
      </c>
      <c r="D14" s="1">
        <v>340</v>
      </c>
      <c r="E14" s="2">
        <v>430</v>
      </c>
      <c r="F14" s="2">
        <f>D14*E14</f>
      </c>
    </row>
    <row r="15">
      <c r="A15">
        <v>8</v>
      </c>
      <c r="B15" t="str">
        <v>River sand / Manufactured sand (M-Sand)</v>
      </c>
      <c r="C15" t="str">
        <v>m³</v>
      </c>
      <c r="D15" s="1">
        <v>24.5</v>
      </c>
      <c r="E15" s="2">
        <v>1400</v>
      </c>
      <c r="F15" s="2">
        <f>D15*E15</f>
      </c>
    </row>
    <row r="16">
      <c r="A16">
        <v>9</v>
      </c>
      <c r="B16" t="str">
        <v>Crushed stone aggregate 20mm</v>
      </c>
      <c r="C16" t="str">
        <v>m³</v>
      </c>
      <c r="D16" s="1">
        <v>32</v>
      </c>
      <c r="E16" s="2">
        <v>1600</v>
      </c>
      <c r="F16" s="2">
        <f>D16*E16</f>
      </c>
    </row>
    <row r="17">
      <c r="A17" t="str">
        <v>4. FINISHING &amp; PLASTERING WORKS</v>
      </c>
    </row>
    <row r="18">
      <c r="A18">
        <v>10</v>
      </c>
      <c r="B18" t="str">
        <v>Cement plastering 12mm thick CM 1:4 internal walls</v>
      </c>
      <c r="C18" t="str">
        <v>m²</v>
      </c>
      <c r="D18" s="1">
        <v>480</v>
      </c>
      <c r="E18" s="2">
        <v>280</v>
      </c>
      <c r="F18" s="2">
        <f>D18*E18</f>
      </c>
    </row>
    <row r="19">
      <c r="A19">
        <v>11</v>
      </c>
      <c r="B19" t="str">
        <v>Emulsion interior wall painting (2 coats over 1 coat primer)</v>
      </c>
      <c r="C19" t="str">
        <v>m²</v>
      </c>
      <c r="D19" s="1">
        <v>580</v>
      </c>
      <c r="E19" s="2">
        <v>120</v>
      </c>
      <c r="F19" s="2">
        <f>D19*E19</f>
      </c>
    </row>
    <row r="20">
      <c r="A20">
        <v>12</v>
      </c>
      <c r="B20" t="str">
        <v>Vitrified floor tiles (600mm × 600mm) including base mortar</v>
      </c>
      <c r="C20" t="str">
        <v>m²</v>
      </c>
      <c r="D20" s="1">
        <v>61</v>
      </c>
      <c r="E20" s="2">
        <v>650</v>
      </c>
      <c r="F20" s="2">
        <f>D20*E20</f>
      </c>
    </row>
    <row r="21">
      <c r="A21">
        <v>13</v>
      </c>
      <c r="B21" t="str">
        <v>Liquid membrane waterproofing for bathrooms &amp; roof slabs</v>
      </c>
      <c r="C21" t="str">
        <v>m²</v>
      </c>
      <c r="D21" s="1">
        <v>75</v>
      </c>
      <c r="E21" s="2">
        <v>380</v>
      </c>
      <c r="F21" s="2">
        <f>D21*E21</f>
      </c>
    </row>
    <row r="22">
      <c r="A22" t="str">
        <v>5. DOORS, WINDOWS &amp; OPENINGS</v>
      </c>
    </row>
    <row r="23">
      <c r="A23">
        <v>14</v>
      </c>
      <c r="B23" t="str">
        <v>Wooden flush doors with frames and standard hardware fittings</v>
      </c>
      <c r="C23" t="str">
        <v>nos</v>
      </c>
      <c r="D23" s="1">
        <v>4</v>
      </c>
      <c r="E23" s="2">
        <v>8500</v>
      </c>
      <c r="F23" s="2">
        <f>D23*E23</f>
      </c>
    </row>
    <row r="24">
      <c r="A24">
        <v>15</v>
      </c>
      <c r="B24" t="str">
        <v>UPVC sliding window frames with 5mm clear float glass</v>
      </c>
      <c r="C24" t="str">
        <v>nos</v>
      </c>
      <c r="D24" s="1">
        <v>6</v>
      </c>
      <c r="E24" s="2">
        <v>6200</v>
      </c>
      <c r="F24" s="2">
        <f>D24*E24</f>
      </c>
    </row>
    <row r="25">
      <c r="A25" t="str">
        <v>6. ELECTRICAL &amp; PLUMBING LINES</v>
      </c>
    </row>
    <row r="26">
      <c r="A26">
        <v>16</v>
      </c>
      <c r="B26" t="str">
        <v>Concealed PVC conduit wiring with modular switches &amp; MCBs</v>
      </c>
      <c r="C26" t="str">
        <v>point</v>
      </c>
      <c r="D26" s="1">
        <v>4</v>
      </c>
      <c r="E26" s="2">
        <v>3200</v>
      </c>
      <c r="F26" s="2">
        <f>D26*E26</f>
      </c>
    </row>
    <row r="27">
      <c r="A27">
        <v>17</v>
      </c>
      <c r="B27" t="str">
        <v>Internal plumbing lines (CPVC water inlet &amp; PVC drainage pipes)</v>
      </c>
      <c r="C27" t="str">
        <v>job</v>
      </c>
      <c r="D27" s="1">
        <v>2</v>
      </c>
      <c r="E27" s="2">
        <v>24000</v>
      </c>
      <c r="F27" s="2">
        <f>D27*E27</f>
      </c>
    </row>
    <row r="29">
      <c r="A29" t="str">
        <v>BOQ SUMMARY BREAKDOWN</v>
      </c>
    </row>
    <row r="30">
      <c r="A30" t="str">
        <v>Material Takeoff Cost</v>
      </c>
      <c r="F30" s="2">
        <f>SUM(F6:F27)</f>
      </c>
    </row>
    <row r="31">
      <c r="A31" t="str">
        <v>Labour Takeoff Cost</v>
      </c>
      <c r="F31" s="2">
        <v>316050</v>
      </c>
    </row>
    <row r="32">
      <c r="A32" t="str">
        <v>Machinery &amp; Rental Equipment</v>
      </c>
      <c r="F32" s="2">
        <v>14200</v>
      </c>
    </row>
    <row r="33">
      <c r="A33" t="str">
        <v>Overhead &amp; Contractor Margin</v>
      </c>
      <c r="F33" s="2">
        <v>151428</v>
      </c>
    </row>
    <row r="34">
      <c r="A34" t="str">
        <v>Contingency Buffer</v>
      </c>
      <c r="F34" s="2">
        <v>77345</v>
      </c>
    </row>
    <row r="35">
      <c r="A35" t="str">
        <v>GST (18% applied)</v>
      </c>
      <c r="F35" s="2">
        <f>SUM(F30:F34)*0.18</f>
      </c>
    </row>
    <row r="36">
      <c r="A36" t="str">
        <v>GRAND TOTAL CONTRACT AMOUNT</v>
      </c>
      <c r="F36" s="2">
        <f>SUM(F30:F35)</f>
      </c>
    </row>
  </sheetData>
  <mergeCells count="16">
    <mergeCell ref="A1:F1"/>
    <mergeCell ref="A2:F2"/>
    <mergeCell ref="A5:F5"/>
    <mergeCell ref="A8:F8"/>
    <mergeCell ref="A12:F12"/>
    <mergeCell ref="A17:F17"/>
    <mergeCell ref="A22:F22"/>
    <mergeCell ref="A25:F25"/>
    <mergeCell ref="A29:F29"/>
    <mergeCell ref="A30:E30"/>
    <mergeCell ref="A31:E31"/>
    <mergeCell ref="A32:E32"/>
    <mergeCell ref="A33:E33"/>
    <mergeCell ref="A34:E34"/>
    <mergeCell ref="A35:E35"/>
    <mergeCell ref="A36:E36"/>
  </mergeCells>
  <ignoredErrors>
    <ignoredError numberStoredAsText="1" sqref="A1:F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BOQ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